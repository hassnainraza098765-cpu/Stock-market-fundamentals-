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71724c93f4c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3a27d3d88e1e40d0"/>
    <x:sheet xmlns:r="http://schemas.openxmlformats.org/officeDocument/2006/relationships" name="Historical Financials" sheetId="2" r:id="R9952b078ce784b31"/>
    <x:sheet xmlns:r="http://schemas.openxmlformats.org/officeDocument/2006/relationships" name="DCF Model" sheetId="3" r:id="R0a04ec5f3fe24e1e"/>
    <x:sheet xmlns:r="http://schemas.openxmlformats.org/officeDocument/2006/relationships" name="Sensitivity" sheetId="4" r:id="R4121046ddcdb4107"/>
    <x:sheet xmlns:r="http://schemas.openxmlformats.org/officeDocument/2006/relationships" name="Peer Comparisons" sheetId="5" r:id="Rb36c7ccd3fa745c1"/>
    <x:sheet xmlns:r="http://schemas.openxmlformats.org/officeDocument/2006/relationships" name="Sources" sheetId="6" r:id="Rb76045cddcb646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0.0%"/>
    <x:numFmt numFmtId="202" formatCode="$0.00"/>
    <x:numFmt numFmtId="203" formatCode="0.0x"/>
  </x:numFmts>
  <x:fonts count="7">
    <x:font>
      <x:sz val="11"/>
      <x:name val="Carlito"/>
    </x:font>
    <x:font>
      <x:b/>
      <x:sz val="18"/>
      <x:color rgb="FFFFFFFF"/>
      <x:name val="Aptos"/>
    </x:font>
    <x:font>
      <x:i/>
      <x:sz val="10"/>
      <x:color rgb="FF153A5B"/>
      <x:name val="Aptos"/>
    </x:font>
    <x:font>
      <x:b/>
      <x:sz val="11"/>
      <x:color rgb="FFFFFFFF"/>
      <x:name val="Aptos"/>
    </x:font>
    <x:font>
      <x:sz val="10"/>
      <x:name val="Aptos"/>
    </x:font>
    <x:font>
      <x:i/>
      <x:sz val="9"/>
      <x:color rgb="FF9A6B00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A5B"/>
      </x:patternFill>
    </x:fill>
    <x:fill>
      <x:patternFill patternType="solid">
        <x:fgColor rgb="FFEAF1F6"/>
      </x:patternFill>
    </x:fill>
    <x:fill>
      <x:patternFill patternType="solid">
        <x:fgColor rgb="FFFFF2CC"/>
      </x:patternFill>
    </x:fill>
  </x:fills>
  <x:borders count="3">
    <x:border/>
    <x:border>
      <x:bottom style="thin">
        <x:color rgb="FFD9E0E6"/>
      </x:bottom>
    </x:border>
    <x:border>
      <x:top style="thin">
        <x:color rgb="FFD9E0E6"/>
      </x:top>
      <x:bottom style="thin">
        <x:color rgb="FFD9E0E6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4" fillId="0" borderId="1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1fd4d4e974949" /><Relationship Type="http://schemas.openxmlformats.org/officeDocument/2006/relationships/theme" Target="/xl/theme/theme1.xml" Id="R554fa5498f8b4f2d" /><Relationship Type="http://schemas.openxmlformats.org/officeDocument/2006/relationships/sharedStrings" Target="/xl/sharedStrings.xml" Id="R4ced0f1812984d24" /><Relationship Type="http://schemas.openxmlformats.org/officeDocument/2006/relationships/worksheet" Target="/xl/worksheets/sheet1.xml" Id="R3a27d3d88e1e40d0" /><Relationship Type="http://schemas.openxmlformats.org/officeDocument/2006/relationships/worksheet" Target="/xl/worksheets/sheet2.xml" Id="R9952b078ce784b31" /><Relationship Type="http://schemas.openxmlformats.org/officeDocument/2006/relationships/worksheet" Target="/xl/worksheets/sheet3.xml" Id="R0a04ec5f3fe24e1e" /><Relationship Type="http://schemas.openxmlformats.org/officeDocument/2006/relationships/worksheet" Target="/xl/worksheets/sheet4.xml" Id="R4121046ddcdb4107" /><Relationship Type="http://schemas.openxmlformats.org/officeDocument/2006/relationships/worksheet" Target="/xl/worksheets/sheet5.xml" Id="Rb36c7ccd3fa745c1" /><Relationship Type="http://schemas.openxmlformats.org/officeDocument/2006/relationships/worksheet" Target="/xl/worksheets/sheet6.xml" Id="Rb76045cddcb646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36" customHeight="1">
      <x:c r="A1" s="2" t="str">
        <x:v>Task 2 – Fundamental Valuation and Financial Modelling</x:v>
      </x:c>
      <x:c r="B1" s="2"/>
      <x:c r="C1" s="2"/>
      <x:c r="D1" s="2"/>
      <x:c r="E1" s="2"/>
      <x:c r="F1" s="2"/>
      <x:c r="G1" s="2"/>
      <x:c r="H1" s="2"/>
    </x:row>
    <x:row r="2" ht="30" customHeight="1">
      <x:c r="A2" s="5" t="str">
        <x:v>Apple historical financial analysis, DCF valuation, sensitivity and peer comparison</x:v>
      </x:c>
      <x:c r="B2" s="5"/>
      <x:c r="C2" s="5"/>
      <x:c r="D2" s="5"/>
      <x:c r="E2" s="5"/>
      <x:c r="F2" s="5"/>
      <x:c r="G2" s="5"/>
      <x:c r="H2" s="5"/>
    </x:row>
    <x:row r="4">
      <x:c r="A4" s="8" t="str">
        <x:v>Submission item</x:v>
      </x:c>
      <x:c r="B4" s="8" t="str">
        <x:v>Details</x:v>
      </x:c>
    </x:row>
    <x:row r="5">
      <x:c r="A5" s="12" t="str">
        <x:v>GitHub repository</x:v>
      </x:c>
      <x:c r="B5" s="14" t="str">
        <x:v>stock-market-fundamental-valuation</x:v>
      </x:c>
    </x:row>
    <x:row r="6">
      <x:c r="A6" s="13" t="str">
        <x:v>Workbook purpose</x:v>
      </x:c>
      <x:c r="B6" s="15" t="str">
        <x:v>Apple historical financial analysis, DCF valuation, sensitivity and peer comparison</x:v>
      </x:c>
    </x:row>
    <x:row r="7">
      <x:c r="A7" s="13" t="str">
        <x:v>Included worksheets</x:v>
      </x:c>
      <x:c r="B7" s="15" t="str">
        <x:v>Historical Financials; DCF Model; Sensitivity; Peer Comparisons; Sources</x:v>
      </x:c>
    </x:row>
    <x:row r="8">
      <x:c r="A8" s="13" t="str">
        <x:v>Status</x:v>
      </x:c>
      <x:c r="B8" s="15" t="str">
        <x:v>Mandatory task complete</x:v>
      </x:c>
    </x:row>
    <x:row r="10">
      <x:c r="A10" s="19" t="str">
        <x:v>Educational project submission. Review dates and assumptions before upload. Not personalised investment advice.</x:v>
      </x:c>
      <x:c r="B10" s="19"/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</x:sheetData>
  <x:mergeCells>
    <x:mergeCell ref="A1:H1"/>
    <x:mergeCell ref="A2:H2"/>
    <x:mergeCell ref="A10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36" customHeight="1">
      <x:c r="A1" s="2" t="str">
        <x:v>Apple Historical Financials</x:v>
      </x:c>
      <x:c r="B1" s="2"/>
      <x:c r="C1" s="2"/>
      <x:c r="D1" s="2"/>
      <x:c r="E1" s="2"/>
      <x:c r="F1" s="2"/>
      <x:c r="G1" s="2"/>
      <x:c r="H1" s="2"/>
    </x:row>
    <x:row r="2" ht="30" customHeight="1">
      <x:c r="A2" s="5" t="str">
        <x:v>FY2023–FY2025 audited filing information</x:v>
      </x:c>
      <x:c r="B2" s="5"/>
      <x:c r="C2" s="5"/>
      <x:c r="D2" s="5"/>
      <x:c r="E2" s="5"/>
      <x:c r="F2" s="5"/>
      <x:c r="G2" s="5"/>
      <x:c r="H2" s="5"/>
    </x:row>
    <x:row r="4">
      <x:c r="A4" s="8" t="str">
        <x:v>Fiscal Year</x:v>
      </x:c>
      <x:c r="B4" s="8" t="str">
        <x:v>Revenue</x:v>
      </x:c>
      <x:c r="C4" s="8" t="str">
        <x:v>Gross Profit</x:v>
      </x:c>
      <x:c r="D4" s="8" t="str">
        <x:v>Operating Income</x:v>
      </x:c>
      <x:c r="E4" s="8" t="str">
        <x:v>Net Income</x:v>
      </x:c>
      <x:c r="F4" s="8" t="str">
        <x:v>CFO</x:v>
      </x:c>
      <x:c r="G4" s="8" t="str">
        <x:v>Capex</x:v>
      </x:c>
      <x:c r="H4" s="8" t="str">
        <x:v>Free Cash Flow</x:v>
      </x:c>
      <x:c r="I4" s="8" t="str">
        <x:v>Diluted EPS</x:v>
      </x:c>
      <x:c r="J4" s="8" t="str">
        <x:v>Revenue Growth</x:v>
      </x:c>
      <x:c r="K4" s="8" t="str">
        <x:v>Gross Margin</x:v>
      </x:c>
      <x:c r="L4" s="8" t="str">
        <x:v>Operating Margin</x:v>
      </x:c>
      <x:c r="M4" s="8" t="str">
        <x:v>Net Margin</x:v>
      </x:c>
    </x:row>
    <x:row r="5">
      <x:c r="A5" s="12" t="n">
        <x:v>2023</x:v>
      </x:c>
      <x:c r="B5" s="20" t="n">
        <x:v>383285000000</x:v>
      </x:c>
      <x:c r="C5" s="20" t="n">
        <x:v>169148000000</x:v>
      </x:c>
      <x:c r="D5" s="20" t="n">
        <x:v>114301000000</x:v>
      </x:c>
      <x:c r="E5" s="20" t="n">
        <x:v>96995000000</x:v>
      </x:c>
      <x:c r="F5" s="20" t="n">
        <x:v>110543000000</x:v>
      </x:c>
      <x:c r="G5" s="20" t="n">
        <x:v>10959000000</x:v>
      </x:c>
      <x:c r="H5" s="20" t="n">
        <x:v>99584000000</x:v>
      </x:c>
      <x:c r="I5" s="22" t="n">
        <x:v>6.13</x:v>
      </x:c>
      <x:c r="J5" s="22"/>
      <x:c r="K5" s="22" t="n">
        <x:v>0.4413112957720756</x:v>
      </x:c>
      <x:c r="L5" s="22" t="n">
        <x:v>0.2982141226502472</x:v>
      </x:c>
      <x:c r="M5" s="12" t="n">
        <x:v>0.2530623426432028</x:v>
      </x:c>
    </x:row>
    <x:row r="6">
      <x:c r="A6" s="13" t="n">
        <x:v>2024</x:v>
      </x:c>
      <x:c r="B6" s="21" t="n">
        <x:v>391035000000</x:v>
      </x:c>
      <x:c r="C6" s="21" t="n">
        <x:v>180683000000</x:v>
      </x:c>
      <x:c r="D6" s="21" t="n">
        <x:v>123216000000</x:v>
      </x:c>
      <x:c r="E6" s="21" t="n">
        <x:v>93736000000</x:v>
      </x:c>
      <x:c r="F6" s="21" t="n">
        <x:v>118254000000</x:v>
      </x:c>
      <x:c r="G6" s="21" t="n">
        <x:v>9447000000</x:v>
      </x:c>
      <x:c r="H6" s="21" t="n">
        <x:v>108807000000</x:v>
      </x:c>
      <x:c r="I6" s="23" t="n">
        <x:v>6.08</x:v>
      </x:c>
      <x:c r="J6" s="23" t="n">
        <x:v>0.0202199407751411</x:v>
      </x:c>
      <x:c r="K6" s="23" t="n">
        <x:v>0.4620634981523393</x:v>
      </x:c>
      <x:c r="L6" s="23" t="n">
        <x:v>0.3151022287007556</x:v>
      </x:c>
      <x:c r="M6" s="13" t="n">
        <x:v>0.2397125576994386</x:v>
      </x:c>
    </x:row>
    <x:row r="7">
      <x:c r="A7" s="13" t="n">
        <x:v>2025</x:v>
      </x:c>
      <x:c r="B7" s="21" t="n">
        <x:v>416161000000</x:v>
      </x:c>
      <x:c r="C7" s="21" t="n">
        <x:v>195201000000</x:v>
      </x:c>
      <x:c r="D7" s="21" t="n">
        <x:v>133050000000</x:v>
      </x:c>
      <x:c r="E7" s="21" t="n">
        <x:v>112010000000</x:v>
      </x:c>
      <x:c r="F7" s="21" t="n">
        <x:v>111482000000</x:v>
      </x:c>
      <x:c r="G7" s="21" t="n">
        <x:v>12715000000</x:v>
      </x:c>
      <x:c r="H7" s="21" t="n">
        <x:v>98767000000</x:v>
      </x:c>
      <x:c r="I7" s="23" t="n">
        <x:v>7.46</x:v>
      </x:c>
      <x:c r="J7" s="23" t="n">
        <x:v>0.0642551178283274</x:v>
      </x:c>
      <x:c r="K7" s="23" t="n">
        <x:v>0.4690516410716045</x:v>
      </x:c>
      <x:c r="L7" s="23" t="n">
        <x:v>0.3197079976259188</x:v>
      </x:c>
      <x:c r="M7" s="13" t="n">
        <x:v>0.2691506412181824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6" customHeight="1">
      <x:c r="A1" s="2" t="str">
        <x:v>Apple Discounted Cash Flow</x:v>
      </x:c>
      <x:c r="B1" s="2"/>
      <x:c r="C1" s="2"/>
      <x:c r="D1" s="2"/>
      <x:c r="E1" s="2"/>
      <x:c r="F1" s="2"/>
      <x:c r="G1" s="2"/>
      <x:c r="H1" s="2"/>
    </x:row>
    <x:row r="2" ht="30" customHeight="1">
      <x:c r="A2" s="5" t="str">
        <x:v>Editable assumptions and formula-driven five-year valuation | $ millions</x:v>
      </x:c>
      <x:c r="B2" s="5"/>
      <x:c r="C2" s="5"/>
      <x:c r="D2" s="5"/>
      <x:c r="E2" s="5"/>
      <x:c r="F2" s="5"/>
      <x:c r="G2" s="5"/>
      <x:c r="H2" s="5"/>
    </x:row>
    <x:row r="4">
      <x:c r="A4" s="8" t="str">
        <x:v>Editable assumptions</x:v>
      </x:c>
      <x:c r="B4" s="8"/>
      <x:c r="C4" s="8"/>
      <x:c r="D4" s="8"/>
      <x:c r="E4" s="8"/>
      <x:c r="F4" s="8"/>
    </x:row>
    <x:row r="5">
      <x:c r="A5" t="str">
        <x:v>Market price</x:v>
      </x:c>
      <x:c r="B5" s="24" t="n">
        <x:v>331.81</x:v>
      </x:c>
      <x:c r="D5" s="8" t="str">
        <x:v>Bridge item</x:v>
      </x:c>
      <x:c r="E5" s="8" t="str">
        <x:v>Value</x:v>
      </x:c>
    </x:row>
    <x:row r="6">
      <x:c r="A6" t="str">
        <x:v>FY2025 revenue</x:v>
      </x:c>
      <x:c r="B6" s="24" t="n">
        <x:v>416161</x:v>
      </x:c>
      <x:c r="D6" t="str">
        <x:v>Cash + current securities</x:v>
      </x:c>
      <x:c r="E6" s="24" t="n">
        <x:v>68507</x:v>
      </x:c>
    </x:row>
    <x:row r="7">
      <x:c r="A7" t="str">
        <x:v>Growth Y1</x:v>
      </x:c>
      <x:c r="B7" s="25" t="n">
        <x:v>0.085</x:v>
      </x:c>
      <x:c r="D7" t="str">
        <x:v>Current + noncurrent debt</x:v>
      </x:c>
      <x:c r="E7" s="24" t="n">
        <x:v>84711</x:v>
      </x:c>
    </x:row>
    <x:row r="8">
      <x:c r="A8" t="str">
        <x:v>Growth Y2</x:v>
      </x:c>
      <x:c r="B8" s="25" t="n">
        <x:v>0.075</x:v>
      </x:c>
      <x:c r="D8" t="str">
        <x:v>Diluted shares (mm)</x:v>
      </x:c>
      <x:c r="E8" s="24" t="n">
        <x:v>14720</x:v>
      </x:c>
    </x:row>
    <x:row r="9">
      <x:c r="A9" t="str">
        <x:v>Growth Y3</x:v>
      </x:c>
      <x:c r="B9" s="25" t="n">
        <x:v>0.065</x:v>
      </x:c>
      <x:c r="D9" t="str">
        <x:v>Margin of safety</x:v>
      </x:c>
      <x:c r="E9" s="25" t="n">
        <x:v>0.3</x:v>
      </x:c>
    </x:row>
    <x:row r="10">
      <x:c r="A10" t="str">
        <x:v>Growth Y4</x:v>
      </x:c>
      <x:c r="B10" s="25" t="n">
        <x:v>0.055</x:v>
      </x:c>
    </x:row>
    <x:row r="11">
      <x:c r="A11" t="str">
        <x:v>Growth Y5</x:v>
      </x:c>
      <x:c r="B11" s="25" t="n">
        <x:v>0.045</x:v>
      </x:c>
    </x:row>
    <x:row r="12">
      <x:c r="A12" t="str">
        <x:v>EBIT margin Y1</x:v>
      </x:c>
      <x:c r="B12" s="25" t="n">
        <x:v>0.32</x:v>
      </x:c>
    </x:row>
    <x:row r="13">
      <x:c r="A13" t="str">
        <x:v>EBIT margin Y5</x:v>
      </x:c>
      <x:c r="B13" s="25" t="n">
        <x:v>0.315</x:v>
      </x:c>
    </x:row>
    <x:row r="14">
      <x:c r="A14" t="str">
        <x:v>Tax rate</x:v>
      </x:c>
      <x:c r="B14" s="25" t="n">
        <x:v>0.16</x:v>
      </x:c>
    </x:row>
    <x:row r="15">
      <x:c r="A15" t="str">
        <x:v>D&amp;A % revenue</x:v>
      </x:c>
      <x:c r="B15" s="25" t="n">
        <x:v>0.03</x:v>
      </x:c>
    </x:row>
    <x:row r="16">
      <x:c r="A16" t="str">
        <x:v>Capex % revenue</x:v>
      </x:c>
      <x:c r="B16" s="25" t="n">
        <x:v>0.032</x:v>
      </x:c>
    </x:row>
    <x:row r="17">
      <x:c r="A17" t="str">
        <x:v>Change NWC % revenue</x:v>
      </x:c>
      <x:c r="B17" s="25" t="n">
        <x:v>0.002</x:v>
      </x:c>
    </x:row>
    <x:row r="18">
      <x:c r="A18" t="str">
        <x:v>WACC</x:v>
      </x:c>
      <x:c r="B18" s="25" t="n">
        <x:v>0.09</x:v>
      </x:c>
    </x:row>
    <x:row r="19">
      <x:c r="A19" t="str">
        <x:v>Terminal growth</x:v>
      </x:c>
      <x:c r="B19" s="25" t="n">
        <x:v>0.03</x:v>
      </x:c>
    </x:row>
    <x:row r="22">
      <x:c r="A22" s="8" t="str">
        <x:v>Five-year unlevered free cash flow forecast</x:v>
      </x:c>
      <x:c r="B22" s="8"/>
      <x:c r="C22" s="8"/>
      <x:c r="D22" s="8"/>
      <x:c r="E22" s="8"/>
      <x:c r="F22" s="8"/>
    </x:row>
    <x:row r="23">
      <x:c r="A23" s="8" t="str">
        <x:v>Metric</x:v>
      </x:c>
      <x:c r="B23" s="8" t="str">
        <x:v>2026E</x:v>
      </x:c>
      <x:c r="C23" s="8" t="str">
        <x:v>2027E</x:v>
      </x:c>
      <x:c r="D23" s="8" t="str">
        <x:v>2028E</x:v>
      </x:c>
      <x:c r="E23" s="8" t="str">
        <x:v>2029E</x:v>
      </x:c>
      <x:c r="F23" s="8" t="str">
        <x:v>2030E</x:v>
      </x:c>
    </x:row>
    <x:row r="24">
      <x:c r="A24" t="str">
        <x:v>Revenue growth</x:v>
      </x:c>
      <x:c r="B24" s="26" t="n">
        <x:f>$B$7</x:f>
        <x:v>0.085</x:v>
      </x:c>
      <x:c r="C24" s="26" t="n">
        <x:f>$B$8</x:f>
        <x:v>0.075</x:v>
      </x:c>
      <x:c r="D24" s="26" t="n">
        <x:f>$B$9</x:f>
        <x:v>0.065</x:v>
      </x:c>
      <x:c r="E24" s="26" t="n">
        <x:f>$B$10</x:f>
        <x:v>0.055</x:v>
      </x:c>
      <x:c r="F24" s="26" t="n">
        <x:f>$B$11</x:f>
        <x:v>0.045</x:v>
      </x:c>
    </x:row>
    <x:row r="25">
      <x:c r="A25" t="str">
        <x:v>Revenue</x:v>
      </x:c>
      <x:c r="B25" s="27" t="n">
        <x:f>$B$6*(1+B24)</x:f>
        <x:v>451534.685</x:v>
      </x:c>
      <x:c r="C25" s="27" t="n">
        <x:f>B25*(1+C24)</x:f>
        <x:v>485399.78637499997</x:v>
      </x:c>
      <x:c r="D25" s="27" t="n">
        <x:f>C25*(1+D24)</x:f>
        <x:v>516950.7724893749</x:v>
      </x:c>
      <x:c r="E25" s="27" t="n">
        <x:f>D25*(1+E24)</x:f>
        <x:v>545383.0649762905</x:v>
      </x:c>
      <x:c r="F25" s="27" t="n">
        <x:f>E25*(1+F24)</x:f>
        <x:v>569925.3029002235</x:v>
      </x:c>
    </x:row>
    <x:row r="26">
      <x:c r="A26" t="str">
        <x:v>EBIT margin</x:v>
      </x:c>
      <x:c r="B26" s="27" t="n">
        <x:f>$B$12</x:f>
        <x:v>0.32</x:v>
      </x:c>
      <x:c r="C26" s="27" t="n">
        <x:f>$B$12+($B$13-$B$12)*1/4</x:f>
        <x:v>0.31875</x:v>
      </x:c>
      <x:c r="D26" s="27" t="n">
        <x:f>$B$12+($B$13-$B$12)*2/4</x:f>
        <x:v>0.3175</x:v>
      </x:c>
      <x:c r="E26" s="27" t="n">
        <x:f>$B$12+($B$13-$B$12)*3/4</x:f>
        <x:v>0.31625000000000003</x:v>
      </x:c>
      <x:c r="F26" s="27" t="n">
        <x:f>$B$13</x:f>
        <x:v>0.315</x:v>
      </x:c>
    </x:row>
    <x:row r="27">
      <x:c r="A27" t="str">
        <x:v>EBIT</x:v>
      </x:c>
      <x:c r="B27" s="27" t="n">
        <x:f>B25*B26</x:f>
        <x:v>144491.0992</x:v>
      </x:c>
      <x:c r="C27" s="27" t="n">
        <x:f>C25*C26</x:f>
        <x:v>154721.18190703122</x:v>
      </x:c>
      <x:c r="D27" s="27" t="n">
        <x:f>D25*D26</x:f>
        <x:v>164131.87026537655</x:v>
      </x:c>
      <x:c r="E27" s="27" t="n">
        <x:f>E25*E26</x:f>
        <x:v>172477.39429875187</x:v>
      </x:c>
      <x:c r="F27" s="27" t="n">
        <x:f>F25*F26</x:f>
        <x:v>179526.4704135704</x:v>
      </x:c>
    </x:row>
    <x:row r="28">
      <x:c r="A28" t="str">
        <x:v>Tax</x:v>
      </x:c>
      <x:c r="B28" s="27" t="n">
        <x:f>B27*$B$14</x:f>
        <x:v>23118.575872</x:v>
      </x:c>
      <x:c r="C28" s="27" t="n">
        <x:f>C27*$B$14</x:f>
        <x:v>24755.389105124996</x:v>
      </x:c>
      <x:c r="D28" s="27" t="n">
        <x:f>D27*$B$14</x:f>
        <x:v>26261.09924246025</x:v>
      </x:c>
      <x:c r="E28" s="27" t="n">
        <x:f>E27*$B$14</x:f>
        <x:v>27596.3830878003</x:v>
      </x:c>
      <x:c r="F28" s="27" t="n">
        <x:f>F27*$B$14</x:f>
        <x:v>28724.235266171265</x:v>
      </x:c>
    </x:row>
    <x:row r="29">
      <x:c r="A29" t="str">
        <x:v>NOPAT</x:v>
      </x:c>
      <x:c r="B29" s="27" t="n">
        <x:f>B27-B28</x:f>
        <x:v>121372.523328</x:v>
      </x:c>
      <x:c r="C29" s="27" t="n">
        <x:f>C27-C28</x:f>
        <x:v>129965.79280190622</x:v>
      </x:c>
      <x:c r="D29" s="27" t="n">
        <x:f>D27-D28</x:f>
        <x:v>137870.7710229163</x:v>
      </x:c>
      <x:c r="E29" s="27" t="n">
        <x:f>E27-E28</x:f>
        <x:v>144881.01121095158</x:v>
      </x:c>
      <x:c r="F29" s="27" t="n">
        <x:f>F27-F28</x:f>
        <x:v>150802.23514739913</x:v>
      </x:c>
    </x:row>
    <x:row r="30">
      <x:c r="A30" t="str">
        <x:v>D&amp;A</x:v>
      </x:c>
      <x:c r="B30" s="27" t="n">
        <x:f>B25*$B$15</x:f>
        <x:v>13546.04055</x:v>
      </x:c>
      <x:c r="C30" s="27" t="n">
        <x:f>C25*$B$15</x:f>
        <x:v>14561.993591249999</x:v>
      </x:c>
      <x:c r="D30" s="27" t="n">
        <x:f>D25*$B$15</x:f>
        <x:v>15508.523174681246</x:v>
      </x:c>
      <x:c r="E30" s="27" t="n">
        <x:f>E25*$B$15</x:f>
        <x:v>16361.491949288713</x:v>
      </x:c>
      <x:c r="F30" s="27" t="n">
        <x:f>F25*$B$15</x:f>
        <x:v>17097.759087006707</x:v>
      </x:c>
    </x:row>
    <x:row r="31">
      <x:c r="A31" t="str">
        <x:v>Capex</x:v>
      </x:c>
      <x:c r="B31" s="27" t="n">
        <x:f>B25*$B$16</x:f>
        <x:v>14449.10992</x:v>
      </x:c>
      <x:c r="C31" s="27" t="n">
        <x:f>C25*$B$16</x:f>
        <x:v>15532.793163999999</x:v>
      </x:c>
      <x:c r="D31" s="27" t="n">
        <x:f>D25*$B$16</x:f>
        <x:v>16542.424719659997</x:v>
      </x:c>
      <x:c r="E31" s="27" t="n">
        <x:f>E25*$B$16</x:f>
        <x:v>17452.258079241295</x:v>
      </x:c>
      <x:c r="F31" s="27" t="n">
        <x:f>F25*$B$16</x:f>
        <x:v>18237.609692807153</x:v>
      </x:c>
    </x:row>
    <x:row r="32">
      <x:c r="A32" t="str">
        <x:v>Change NWC</x:v>
      </x:c>
      <x:c r="B32" s="27" t="n">
        <x:f>B25*$B$17</x:f>
        <x:v>903.06937</x:v>
      </x:c>
      <x:c r="C32" s="27" t="n">
        <x:f>C25*$B$17</x:f>
        <x:v>970.7995727499999</x:v>
      </x:c>
      <x:c r="D32" s="27" t="n">
        <x:f>D25*$B$17</x:f>
        <x:v>1033.9015449787498</x:v>
      </x:c>
      <x:c r="E32" s="27" t="n">
        <x:f>E25*$B$17</x:f>
        <x:v>1090.766129952581</x:v>
      </x:c>
      <x:c r="F32" s="27" t="n">
        <x:f>F25*$B$17</x:f>
        <x:v>1139.850605800447</x:v>
      </x:c>
    </x:row>
    <x:row r="33">
      <x:c r="A33" t="str">
        <x:v>UFCF</x:v>
      </x:c>
      <x:c r="B33" s="27" t="n">
        <x:f>B29+B30-B31-B32</x:f>
        <x:v>119566.38458799999</x:v>
      </x:c>
      <x:c r="C33" s="27" t="n">
        <x:f>C29+C30-C31-C32</x:f>
        <x:v>128024.19365640622</x:v>
      </x:c>
      <x:c r="D33" s="27" t="n">
        <x:f>D29+D30-D31-D32</x:f>
        <x:v>135802.9679329588</x:v>
      </x:c>
      <x:c r="E33" s="27" t="n">
        <x:f>E29+E30-E31-E32</x:f>
        <x:v>142699.47895104642</x:v>
      </x:c>
      <x:c r="F33" s="27" t="n">
        <x:f>F29+F30-F31-F32</x:f>
        <x:v>148522.53393579822</x:v>
      </x:c>
    </x:row>
    <x:row r="34">
      <x:c r="A34" t="str">
        <x:v>Discount factor</x:v>
      </x:c>
      <x:c r="B34" s="27" t="n">
        <x:f>1/(1+$B$18)^1</x:f>
        <x:v>0.9174311926605504</x:v>
      </x:c>
      <x:c r="C34" s="27" t="n">
        <x:f>1/(1+$B$18)^2</x:f>
        <x:v>0.84167999326656</x:v>
      </x:c>
      <x:c r="D34" s="27" t="n">
        <x:f>1/(1+$B$18)^3</x:f>
        <x:v>0.7721834800610642</x:v>
      </x:c>
      <x:c r="E34" s="27" t="n">
        <x:f>1/(1+$B$18)^4</x:f>
        <x:v>0.7084252110651963</x:v>
      </x:c>
      <x:c r="F34" s="27" t="n">
        <x:f>1/(1+$B$18)^5</x:f>
        <x:v>0.6499313862983452</x:v>
      </x:c>
    </x:row>
    <x:row r="35">
      <x:c r="A35" t="str">
        <x:v>PV of UFCF</x:v>
      </x:c>
      <x:c r="B35" s="27" t="n">
        <x:f>B33*B34</x:f>
        <x:v>109693.93081467888</x:v>
      </x:c>
      <x:c r="C35" s="27" t="n">
        <x:f>C33*C34</x:f>
        <x:v>107755.40245468075</x:v>
      </x:c>
      <x:c r="D35" s="27" t="n">
        <x:f>D33*D34</x:f>
        <x:v>104864.80838109323</x:v>
      </x:c>
      <x:c r="E35" s="27" t="n">
        <x:f>E33*E34</x:f>
        <x:v>101091.9084947886</x:v>
      </x:c>
      <x:c r="F35" s="27" t="n">
        <x:f>F33*F34</x:f>
        <x:v>96529.45637743636</x:v>
      </x:c>
    </x:row>
    <x:row r="38">
      <x:c r="A38" s="8" t="str">
        <x:v>Valuation bridge</x:v>
      </x:c>
      <x:c r="B38" s="8"/>
    </x:row>
    <x:row r="39">
      <x:c r="A39" s="8" t="str">
        <x:v>Output</x:v>
      </x:c>
      <x:c r="B39" s="8" t="str">
        <x:v>Value</x:v>
      </x:c>
    </x:row>
    <x:row r="40">
      <x:c r="A40" t="str">
        <x:v>PV forecast UFCF</x:v>
      </x:c>
      <x:c r="B40" s="27" t="n">
        <x:f>SUM(B35:F35)</x:f>
        <x:v>519935.5065226778</x:v>
      </x:c>
    </x:row>
    <x:row r="41">
      <x:c r="A41" t="str">
        <x:v>Terminal value</x:v>
      </x:c>
      <x:c r="B41" s="27" t="n">
        <x:f>F33*(1+$B$19)/($B$18-$B$19)</x:f>
        <x:v>2549636.832564536</x:v>
      </x:c>
    </x:row>
    <x:row r="42">
      <x:c r="A42" t="str">
        <x:v>PV terminal value</x:v>
      </x:c>
      <x:c r="B42" s="27" t="n">
        <x:f>B41*F34</x:f>
        <x:v>1657089.0011459908</x:v>
      </x:c>
    </x:row>
    <x:row r="43">
      <x:c r="A43" t="str">
        <x:v>Enterprise value</x:v>
      </x:c>
      <x:c r="B43" s="27" t="n">
        <x:f>B40+B42</x:f>
        <x:v>2177024.5076686684</x:v>
      </x:c>
    </x:row>
    <x:row r="44">
      <x:c r="A44" t="str">
        <x:v>Net cash/(debt)</x:v>
      </x:c>
      <x:c r="B44" s="27" t="n">
        <x:f>$E$6-$E$7</x:f>
        <x:v>-16204</x:v>
      </x:c>
    </x:row>
    <x:row r="45">
      <x:c r="A45" t="str">
        <x:v>Equity value</x:v>
      </x:c>
      <x:c r="B45" s="27" t="n">
        <x:f>B43+B44</x:f>
        <x:v>2160820.5076686684</x:v>
      </x:c>
    </x:row>
    <x:row r="46">
      <x:c r="A46" t="str">
        <x:v>Intrinsic value/share</x:v>
      </x:c>
      <x:c r="B46" s="28" t="n">
        <x:f>B45/$E$8</x:f>
        <x:v>146.79487144488238</x:v>
      </x:c>
    </x:row>
    <x:row r="47">
      <x:c r="A47" t="str">
        <x:v>30% margin-of-safety price</x:v>
      </x:c>
      <x:c r="B47" s="28" t="n">
        <x:f>B46*(1-$E$9)</x:f>
        <x:v>102.75641001141766</x:v>
      </x:c>
    </x:row>
    <x:row r="48">
      <x:c r="A48" t="str">
        <x:v>Upside/(downside)</x:v>
      </x:c>
      <x:c r="B48" s="26" t="n">
        <x:f>B46/$B$5-1</x:f>
        <x:v>-0.5575935883641772</x:v>
      </x:c>
    </x:row>
  </x:sheetData>
  <x:mergeCells>
    <x:mergeCell ref="A1:H1"/>
    <x:mergeCell ref="A2:H2"/>
    <x:mergeCell ref="A4:F4"/>
    <x:mergeCell ref="A22:F22"/>
    <x:mergeCell ref="A38:B3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6" customHeight="1">
      <x:c r="A1" s="2" t="str">
        <x:v>Apple DCF Sensitivity</x:v>
      </x:c>
      <x:c r="B1" s="2"/>
      <x:c r="C1" s="2"/>
      <x:c r="D1" s="2"/>
      <x:c r="E1" s="2"/>
      <x:c r="F1" s="2"/>
      <x:c r="G1" s="2"/>
      <x:c r="H1" s="2"/>
    </x:row>
    <x:row r="2" ht="30" customHeight="1">
      <x:c r="A2" s="5" t="str">
        <x:v>Intrinsic value per share across WACC and terminal-growth assumptions</x:v>
      </x:c>
      <x:c r="B2" s="5"/>
      <x:c r="C2" s="5"/>
      <x:c r="D2" s="5"/>
      <x:c r="E2" s="5"/>
      <x:c r="F2" s="5"/>
      <x:c r="G2" s="5"/>
      <x:c r="H2" s="5"/>
    </x:row>
    <x:row r="4">
      <x:c r="A4" s="8" t="str">
        <x:v>WACC / TGR</x:v>
      </x:c>
      <x:c r="B4" s="8" t="str">
        <x:v>2.0%</x:v>
      </x:c>
      <x:c r="C4" s="8" t="str">
        <x:v>2.5%</x:v>
      </x:c>
      <x:c r="D4" s="8" t="str">
        <x:v>3.0%</x:v>
      </x:c>
      <x:c r="E4" s="8" t="str">
        <x:v>3.5%</x:v>
      </x:c>
      <x:c r="F4" s="8" t="str">
        <x:v>4.0%</x:v>
      </x:c>
    </x:row>
    <x:row r="5">
      <x:c r="A5" s="22" t="n">
        <x:v>0.08</x:v>
      </x:c>
      <x:c r="B5" s="29" t="n">
        <x:v>151.93164507432695</x:v>
      </x:c>
      <x:c r="C5" s="29" t="n">
        <x:v>163.1685209241073</x:v>
      </x:c>
      <x:c r="D5" s="29" t="n">
        <x:v>176.65277194384367</x:v>
      </x:c>
      <x:c r="E5" s="29" t="n">
        <x:v>193.1335231901882</x:v>
      </x:c>
      <x:c r="F5" s="29" t="n">
        <x:v>213.7344622481189</x:v>
      </x:c>
    </x:row>
    <x:row r="6">
      <x:c r="A6" s="23" t="n">
        <x:v>0.085</x:v>
      </x:c>
      <x:c r="B6" s="30" t="n">
        <x:v>140.00038329727474</x:v>
      </x:c>
      <x:c r="C6" s="30" t="n">
        <x:v>149.33445181754948</x:v>
      </x:c>
      <x:c r="D6" s="30" t="n">
        <x:v>160.3656237051469</x:v>
      </x:c>
      <x:c r="E6" s="30" t="n">
        <x:v>173.60302997026378</x:v>
      </x:c>
      <x:c r="F6" s="30" t="n">
        <x:v>189.7820820720733</x:v>
      </x:c>
    </x:row>
    <x:row r="7">
      <x:c r="A7" s="23" t="n">
        <x:v>0.09</x:v>
      </x:c>
      <x:c r="B7" s="30" t="n">
        <x:v>129.77605877481813</x:v>
      </x:c>
      <x:c r="C7" s="30" t="n">
        <x:v>137.63089539177088</x:v>
      </x:c>
      <x:c r="D7" s="30" t="n">
        <x:v>146.79487144488243</x:v>
      </x:c>
      <x:c r="E7" s="30" t="n">
        <x:v>157.6250249621961</x:v>
      </x:c>
      <x:c r="F7" s="30" t="n">
        <x:v>170.6212091829725</x:v>
      </x:c>
    </x:row>
    <x:row r="8">
      <x:c r="A8" s="23" t="n">
        <x:v>0.095</x:v>
      </x:c>
      <x:c r="B8" s="30" t="n">
        <x:v>120.9172321868109</x:v>
      </x:c>
      <x:c r="C8" s="30" t="n">
        <x:v>127.60126794048534</x:v>
      </x:c>
      <x:c r="D8" s="30" t="n">
        <x:v>135.31361688703282</x:v>
      </x:c>
      <x:c r="E8" s="30" t="n">
        <x:v>144.31135732467155</x:v>
      </x:c>
      <x:c r="F8" s="30" t="n">
        <x:v>154.94505056915366</x:v>
      </x:c>
    </x:row>
    <x:row r="9">
      <x:c r="A9" s="23" t="n">
        <x:v>0.1</x:v>
      </x:c>
      <x:c r="B9" s="30" t="n">
        <x:v>113.16782539306952</x:v>
      </x:c>
      <x:c r="C9" s="30" t="n">
        <x:v>118.91074257508184</x:v>
      </x:c>
      <x:c r="D9" s="30" t="n">
        <x:v>125.47407649738165</x:v>
      </x:c>
      <x:c r="E9" s="30" t="n">
        <x:v>133.0471541000352</x:v>
      </x:c>
      <x:c r="F9" s="30" t="n">
        <x:v>141.8824113031311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6" customHeight="1">
      <x:c r="A1" s="2" t="str">
        <x:v>Apple Relative Valuation</x:v>
      </x:c>
      <x:c r="B1" s="2"/>
      <x:c r="C1" s="2"/>
      <x:c r="D1" s="2"/>
      <x:c r="E1" s="2"/>
      <x:c r="F1" s="2"/>
      <x:c r="G1" s="2"/>
      <x:c r="H1" s="2"/>
    </x:row>
    <x:row r="2" ht="30" customHeight="1">
      <x:c r="A2" s="5" t="str">
        <x:v>AAPL compared with Microsoft and Alphabet</x:v>
      </x:c>
      <x:c r="B2" s="5"/>
      <x:c r="C2" s="5"/>
      <x:c r="D2" s="5"/>
      <x:c r="E2" s="5"/>
      <x:c r="F2" s="5"/>
      <x:c r="G2" s="5"/>
      <x:c r="H2" s="5"/>
    </x:row>
    <x:row r="4">
      <x:c r="A4" s="8" t="str">
        <x:v>Company</x:v>
      </x:c>
      <x:c r="B4" s="8" t="str">
        <x:v>Market Cap</x:v>
      </x:c>
      <x:c r="C4" s="8" t="str">
        <x:v>P/E</x:v>
      </x:c>
      <x:c r="D4" s="8" t="str">
        <x:v>P/B</x:v>
      </x:c>
      <x:c r="E4" s="8" t="str">
        <x:v>EV/EBITDA</x:v>
      </x:c>
      <x:c r="F4" s="8" t="str">
        <x:v>Equity</x:v>
      </x:c>
      <x:c r="G4" s="8" t="str">
        <x:v>Cash</x:v>
      </x:c>
      <x:c r="H4" s="8" t="str">
        <x:v>Debt</x:v>
      </x:c>
      <x:c r="I4" s="8" t="str">
        <x:v>EBITDA Proxy</x:v>
      </x:c>
    </x:row>
    <x:row r="5">
      <x:c r="A5" s="12" t="str">
        <x:v>AAPL</x:v>
      </x:c>
      <x:c r="B5" s="12" t="n">
        <x:v>4886633696320</x:v>
      </x:c>
      <x:c r="C5" s="31" t="n">
        <x:v>40.1743341404</x:v>
      </x:c>
      <x:c r="D5" s="31" t="n">
        <x:v>66.27471683398207</x:v>
      </x:c>
      <x:c r="E5" s="31" t="n">
        <x:v>34.137796006300604</x:v>
      </x:c>
      <x:c r="F5" s="12" t="n">
        <x:v>73733000000</x:v>
      </x:c>
      <x:c r="G5" s="12" t="n">
        <x:v>35934000000</x:v>
      </x:c>
      <x:c r="H5" s="12" t="n">
        <x:v>90678000000</x:v>
      </x:c>
      <x:c r="I5" s="12" t="n">
        <x:v>144748000000</x:v>
      </x:c>
    </x:row>
    <x:row r="6">
      <x:c r="A6" s="13" t="str">
        <x:v>MSFT</x:v>
      </x:c>
      <x:c r="B6" s="13" t="n">
        <x:v>3353079100000</x:v>
      </x:c>
      <x:c r="C6" s="32" t="n">
        <x:v>26.8083333333</x:v>
      </x:c>
      <x:c r="D6" s="32" t="n">
        <x:v>9.762108018248568</x:v>
      </x:c>
      <x:c r="E6" s="32" t="n">
        <x:v>26.188753423378564</x:v>
      </x:c>
      <x:c r="F6" s="13" t="n">
        <x:v>343479000000</x:v>
      </x:c>
      <x:c r="G6" s="13" t="n">
        <x:v>30242000000</x:v>
      </x:c>
      <x:c r="H6" s="13" t="n">
        <x:v>43151000000</x:v>
      </x:c>
      <x:c r="I6" s="13" t="n">
        <x:v>128528000000</x:v>
      </x:c>
    </x:row>
    <x:row r="7">
      <x:c r="A7" s="13" t="str">
        <x:v>GOOGL</x:v>
      </x:c>
      <x:c r="B7" s="13" t="n">
        <x:v>4078338100000</x:v>
      </x:c>
      <x:c r="C7" s="32" t="n">
        <x:v>16.7488699146</x:v>
      </x:c>
      <x:c r="D7" s="32" t="n">
        <x:v>9.82104945035098</x:v>
      </x:c>
      <x:c r="E7" s="32" t="n">
        <x:v>31.74368291756756</x:v>
      </x:c>
      <x:c r="F7" s="13" t="n">
        <x:v>415265000000</x:v>
      </x:c>
      <x:c r="G7" s="13" t="n">
        <x:v>30708000000</x:v>
      </x:c>
      <x:c r="H7" s="13" t="n">
        <x:v>48543000000</x:v>
      </x:c>
      <x:c r="I7" s="13" t="n">
        <x:v>129039000000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3" hidden="0" customWidth="1"/>
    <x:col min="3" max="3" width="78" hidden="0" customWidth="1"/>
  </x:cols>
  <x:sheetData>
    <x:row r="1" ht="36" customHeight="1">
      <x:c r="A1" s="2" t="str">
        <x:v>Task 2 – Sources</x:v>
      </x:c>
      <x:c r="B1" s="2"/>
      <x:c r="C1" s="2"/>
      <x:c r="D1" s="2"/>
      <x:c r="E1" s="2"/>
      <x:c r="F1" s="2"/>
      <x:c r="G1" s="2"/>
      <x:c r="H1" s="2"/>
    </x:row>
    <x:row r="2" ht="30" customHeight="1">
      <x:c r="A2" s="5" t="str">
        <x:v>Primary data and project-instruction audit trail</x:v>
      </x:c>
      <x:c r="B2" s="5"/>
      <x:c r="C2" s="5"/>
      <x:c r="D2" s="5"/>
      <x:c r="E2" s="5"/>
      <x:c r="F2" s="5"/>
      <x:c r="G2" s="5"/>
      <x:c r="H2" s="5"/>
    </x:row>
    <x:row r="4">
      <x:c r="A4" s="8" t="str">
        <x:v>Source</x:v>
      </x:c>
      <x:c r="B4" s="8" t="str">
        <x:v>Use</x:v>
      </x:c>
      <x:c r="C4" s="8" t="str">
        <x:v>URL</x:v>
      </x:c>
    </x:row>
    <x:row r="5">
      <x:c r="A5" s="14" t="str">
        <x:v>DecodeLabs Industrial Training Kit</x:v>
      </x:c>
      <x:c r="B5" s="14" t="str">
        <x:v>Task 2 requirements</x:v>
      </x:c>
      <x:c r="C5" s="14" t="str">
        <x:v>User-supplied PDF</x:v>
      </x:c>
    </x:row>
    <x:row r="6">
      <x:c r="A6" s="15" t="str">
        <x:v>Yahoo Finance chart data</x:v>
      </x:c>
      <x:c r="B6" s="15" t="str">
        <x:v>Historical OHLC and adjusted-close series</x:v>
      </x:c>
      <x:c r="C6" s="15" t="str">
        <x:v>https://query2.finance.yahoo.com/v8/finance/chart/</x:v>
      </x:c>
    </x:row>
    <x:row r="7">
      <x:c r="A7" s="15" t="str">
        <x:v>Apple FY2025 Form 10-K</x:v>
      </x:c>
      <x:c r="B7" s="15" t="str">
        <x:v>Historical financial statements</x:v>
      </x:c>
      <x:c r="C7" s="15" t="str">
        <x:v>https://www.sec.gov/Archives/edgar/data/320193/000032019325000079/aapl-20250927.htm</x:v>
      </x:c>
    </x:row>
    <x:row r="8">
      <x:c r="A8" s="15" t="str">
        <x:v>Apple FY2026 Q2 Form 10-Q</x:v>
      </x:c>
      <x:c r="B8" s="15" t="str">
        <x:v>Balance-sheet inputs</x:v>
      </x:c>
      <x:c r="C8" s="15" t="str">
        <x:v>https://www.sec.gov/Archives/edgar/data/320193/000032019326000011/aapl-20260328.htm</x:v>
      </x:c>
    </x:row>
    <x:row r="9">
      <x:c r="A9" s="33"/>
      <x:c r="B9" s="33"/>
      <x:c r="C9" s="33"/>
    </x:row>
    <x:row r="10">
      <x:c r="A10" s="33"/>
      <x:c r="B10" s="33"/>
      <x:c r="C10" s="33"/>
    </x:row>
  </x:sheetData>
  <x:mergeCells>
    <x:mergeCell ref="A1:H1"/>
    <x:mergeCell ref="A2:H2"/>
  </x:mergeCells>
  <x:pageMargins left="0.7" right="0.7" top="0.75" bottom="0.75" header="0.3" footer="0.3"/>
</x:worksheet>
</file>